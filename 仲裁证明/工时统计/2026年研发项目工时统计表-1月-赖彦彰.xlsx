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工时统计表" sheetId="1" state="visible" r:id="rId1"/>
  </sheets>
  <definedNames>
    <definedName name="_xlnm.Print_Area" localSheetId="0">'工时统计表'!$A$1:$P$19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804]aaaa;@"/>
    <numFmt numFmtId="165" formatCode="[$-F800]dddd\,\ mmmm\ dd\,\ yyyy"/>
  </numFmts>
  <fonts count="3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color theme="1"/>
      <sz val="9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宋体"/>
      <charset val="134"/>
      <b val="1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5" borderId="12" applyAlignment="1">
      <alignment vertical="center"/>
    </xf>
    <xf numFmtId="0" fontId="19" fillId="6" borderId="13" applyAlignment="1">
      <alignment vertical="center"/>
    </xf>
    <xf numFmtId="0" fontId="20" fillId="6" borderId="12" applyAlignment="1">
      <alignment vertical="center"/>
    </xf>
    <xf numFmtId="0" fontId="21" fillId="7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5" fontId="29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right" vertical="center" wrapText="1"/>
    </xf>
    <xf numFmtId="0" fontId="6" fillId="2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7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0" fontId="8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9" fontId="8" fillId="2" borderId="7" applyAlignment="1" pivotButton="0" quotePrefix="0" xfId="3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9" fillId="0" borderId="7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B6" sqref="AB6"/>
    </sheetView>
  </sheetViews>
  <sheetFormatPr baseColWidth="8" defaultColWidth="8.66666666666667" defaultRowHeight="13.5"/>
  <cols>
    <col width="7.50833333333333" customWidth="1" style="42" min="1" max="1"/>
    <col width="9.625" customWidth="1" style="42" min="2" max="2"/>
    <col width="11.2916666666667" customWidth="1" style="42" min="3" max="5"/>
    <col width="8.66666666666667" customWidth="1" style="42" min="6" max="11"/>
    <col width="8.16666666666667" customWidth="1" style="42" min="12" max="12"/>
    <col width="8.66666666666667" customWidth="1" style="42" min="13" max="16"/>
    <col hidden="1" width="11" customWidth="1" style="42" min="17" max="17"/>
    <col hidden="1" width="8.66666666666667" customWidth="1" style="42" min="18" max="26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8.66666666666667" customWidth="1" style="42" min="27" max="16384"/>
  </cols>
  <sheetData>
    <row r="1" ht="33" customHeight="1">
      <c r="A1" s="43" t="inlineStr">
        <is>
          <t>研发工时统计表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5" t="n"/>
    </row>
    <row r="2" ht="24.5" customFormat="1" customHeight="1" s="42">
      <c r="A2" s="11" t="inlineStr">
        <is>
          <t xml:space="preserve">       公司：广东因赛品牌营销集团股份有限公司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  <c r="J2" s="13" t="n"/>
      <c r="K2" s="14" t="inlineStr">
        <is>
          <t>年度：</t>
        </is>
      </c>
      <c r="L2" s="15" t="n">
        <v>2026</v>
      </c>
      <c r="M2" s="15" t="inlineStr">
        <is>
          <t>月份：</t>
        </is>
      </c>
      <c r="N2" s="15" t="n">
        <v>1</v>
      </c>
      <c r="P2" s="16" t="n"/>
    </row>
    <row r="3" ht="18" customFormat="1" customHeight="1" s="2">
      <c r="A3" s="21" t="inlineStr">
        <is>
          <t>序号</t>
        </is>
      </c>
      <c r="B3" s="21" t="inlineStr">
        <is>
          <t>姓名</t>
        </is>
      </c>
      <c r="C3" s="21" t="inlineStr">
        <is>
          <t>入职时间</t>
        </is>
      </c>
      <c r="D3" s="21" t="inlineStr">
        <is>
          <t>所属团队</t>
        </is>
      </c>
      <c r="E3" s="21" t="inlineStr">
        <is>
          <t>离职时间</t>
        </is>
      </c>
      <c r="F3" s="22" t="inlineStr">
        <is>
          <t>当月应出勤工时</t>
        </is>
      </c>
      <c r="G3" s="22" t="inlineStr">
        <is>
          <t>非研发活动工时</t>
        </is>
      </c>
      <c r="H3" s="22" t="inlineStr">
        <is>
          <t>研发活动
工时</t>
        </is>
      </c>
      <c r="I3" s="19" t="inlineStr">
        <is>
          <t>各项目研发活动工时</t>
        </is>
      </c>
      <c r="J3" s="44" t="n"/>
      <c r="K3" s="44" t="n"/>
      <c r="L3" s="44" t="n"/>
      <c r="M3" s="44" t="n"/>
      <c r="N3" s="44" t="n"/>
      <c r="O3" s="44" t="n"/>
      <c r="P3" s="45" t="n"/>
      <c r="R3" s="2" t="inlineStr">
        <is>
          <t>比例</t>
        </is>
      </c>
    </row>
    <row r="4" ht="18" customFormat="1" customHeight="1" s="7">
      <c r="A4" s="46" t="n"/>
      <c r="B4" s="46" t="n"/>
      <c r="C4" s="46" t="n"/>
      <c r="D4" s="46" t="n"/>
      <c r="E4" s="46" t="n"/>
      <c r="F4" s="46" t="n"/>
      <c r="G4" s="46" t="n"/>
      <c r="H4" s="46" t="n"/>
      <c r="I4" s="20" t="inlineStr">
        <is>
          <t>RD04</t>
        </is>
      </c>
      <c r="J4" s="20" t="inlineStr">
        <is>
          <t>RD05</t>
        </is>
      </c>
      <c r="K4" s="20" t="inlineStr">
        <is>
          <t>RD06</t>
        </is>
      </c>
      <c r="L4" s="20" t="inlineStr">
        <is>
          <t>RD07</t>
        </is>
      </c>
      <c r="M4" s="20" t="inlineStr">
        <is>
          <t>RD08</t>
        </is>
      </c>
      <c r="N4" s="20" t="inlineStr">
        <is>
          <t>RD09</t>
        </is>
      </c>
      <c r="O4" s="20" t="inlineStr">
        <is>
          <t>RD10</t>
        </is>
      </c>
      <c r="P4" s="20" t="inlineStr">
        <is>
          <t>RD11</t>
        </is>
      </c>
      <c r="R4" s="7" t="inlineStr">
        <is>
          <t>RD04</t>
        </is>
      </c>
      <c r="S4" s="7" t="inlineStr">
        <is>
          <t>RD05</t>
        </is>
      </c>
      <c r="T4" s="7" t="inlineStr">
        <is>
          <t>RD06</t>
        </is>
      </c>
      <c r="U4" s="7" t="inlineStr">
        <is>
          <t>RD07</t>
        </is>
      </c>
      <c r="V4" s="7" t="inlineStr">
        <is>
          <t>RD08</t>
        </is>
      </c>
      <c r="W4" s="7" t="inlineStr">
        <is>
          <t>RD09</t>
        </is>
      </c>
      <c r="X4" s="7" t="inlineStr">
        <is>
          <t>RD10</t>
        </is>
      </c>
      <c r="Y4" s="7" t="inlineStr">
        <is>
          <t>RD11</t>
        </is>
      </c>
    </row>
    <row r="5" ht="17" customFormat="1" customHeight="1" s="7">
      <c r="A5" s="23" t="n">
        <v>1</v>
      </c>
      <c r="B5" s="24" t="inlineStr">
        <is>
          <t>赖彦彰</t>
        </is>
      </c>
      <c r="C5" s="27" t="inlineStr">
        <is>
          <t>2025-04-07</t>
        </is>
      </c>
      <c r="D5" s="26" t="inlineStr">
        <is>
          <t>研发中心</t>
        </is>
      </c>
      <c r="E5" s="27" t="n"/>
      <c r="F5" s="23" t="n">
        <v>168</v>
      </c>
      <c r="G5" s="23">
        <f>F5-H5</f>
        <v/>
      </c>
      <c r="H5" s="23">
        <f>SUM(I5:P5)</f>
        <v/>
      </c>
      <c r="I5" s="23">
        <f>ROUND($F$5*R5,1)</f>
        <v/>
      </c>
      <c r="J5" s="23">
        <f>ROUND($F$5*S5,1)</f>
        <v/>
      </c>
      <c r="K5" s="23">
        <f>ROUND($F$5*T5,1)</f>
        <v/>
      </c>
      <c r="L5" s="23">
        <f>ROUND($F$5*U5,1)</f>
        <v/>
      </c>
      <c r="M5" s="23">
        <f>ROUND($F$5*V5,1)</f>
        <v/>
      </c>
      <c r="N5" s="23">
        <f>ROUND($F$5*W5,1)</f>
        <v/>
      </c>
      <c r="O5" s="23">
        <f>ROUND($F$5*X5,1)</f>
        <v/>
      </c>
      <c r="P5" s="23">
        <f>ROUND($F$5*Y5,1)</f>
        <v/>
      </c>
      <c r="R5" s="28" t="n">
        <v>0.2</v>
      </c>
      <c r="S5" s="28" t="n">
        <v>0</v>
      </c>
      <c r="T5" s="28" t="n">
        <v>0.2</v>
      </c>
      <c r="U5" s="28" t="n">
        <v>0.3</v>
      </c>
      <c r="V5" s="28" t="n">
        <v>0</v>
      </c>
      <c r="W5" s="28" t="n">
        <v>0.25</v>
      </c>
      <c r="X5" s="28" t="n">
        <v>0.05</v>
      </c>
      <c r="Y5" s="28" t="n">
        <v>0</v>
      </c>
    </row>
    <row r="6" ht="20" customFormat="1" customHeight="1" s="4">
      <c r="A6" s="29" t="inlineStr">
        <is>
          <t xml:space="preserve">  当前页合计</t>
        </is>
      </c>
      <c r="B6" s="44" t="n"/>
      <c r="C6" s="44" t="n"/>
      <c r="D6" s="44" t="n"/>
      <c r="E6" s="44" t="n"/>
      <c r="F6" s="44" t="n"/>
      <c r="G6" s="30">
        <f>SUM(G5:G5)</f>
        <v/>
      </c>
      <c r="H6" s="30">
        <f>SUM(H5:H5)</f>
        <v/>
      </c>
      <c r="I6" s="30">
        <f>SUM(I5:I5)</f>
        <v/>
      </c>
      <c r="J6" s="30">
        <f>SUM(J5:J5)</f>
        <v/>
      </c>
      <c r="K6" s="30">
        <f>SUM(K5:K5)</f>
        <v/>
      </c>
      <c r="L6" s="30">
        <f>SUM(L5:L5)</f>
        <v/>
      </c>
      <c r="M6" s="30">
        <f>SUM(M5:M5)</f>
        <v/>
      </c>
      <c r="N6" s="30">
        <f>SUM(N5:N5)</f>
        <v/>
      </c>
      <c r="O6" s="30">
        <f>SUM(O5:O5)</f>
        <v/>
      </c>
      <c r="P6" s="31">
        <f>SUM(P5:P5)</f>
        <v/>
      </c>
    </row>
    <row r="7" ht="22" customFormat="1" customHeight="1" s="5">
      <c r="A7" s="5" t="inlineStr">
        <is>
          <t xml:space="preserve">          备注：1、每个工作日按8小时计算标准，加班调休、请假缺时等对应参考工资核算情况如实反映。</t>
        </is>
      </c>
    </row>
    <row r="8" ht="22" customFormat="1" customHeight="1" s="5">
      <c r="A8" s="32" t="inlineStr">
        <is>
          <t xml:space="preserve">                2、当月入职、离职人员的应出勤工时按在岗时间计算。</t>
        </is>
      </c>
      <c r="B8" s="32" t="n"/>
    </row>
    <row r="9" ht="30" customFormat="1" customHeight="1" s="6">
      <c r="A9" s="47" t="inlineStr">
        <is>
          <t xml:space="preserve">        各研发项目立项情况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5" t="n"/>
    </row>
    <row r="10" ht="20" customFormat="1" customHeight="1" s="7">
      <c r="A10" s="36" t="inlineStr">
        <is>
          <t>项目序号</t>
        </is>
      </c>
      <c r="B10" s="44" t="n"/>
      <c r="C10" s="20" t="inlineStr">
        <is>
          <t>研发项目标题</t>
        </is>
      </c>
      <c r="D10" s="44" t="n"/>
      <c r="E10" s="44" t="n"/>
      <c r="F10" s="44" t="n"/>
      <c r="G10" s="44" t="n"/>
      <c r="H10" s="44" t="n"/>
      <c r="I10" s="45" t="n"/>
      <c r="J10" s="20" t="inlineStr">
        <is>
          <t>立项号</t>
        </is>
      </c>
      <c r="K10" s="44" t="n"/>
      <c r="L10" s="45" t="n"/>
      <c r="M10" s="38" t="inlineStr">
        <is>
          <t>备注</t>
        </is>
      </c>
      <c r="N10" s="44" t="n"/>
      <c r="O10" s="44" t="n"/>
      <c r="P10" s="45" t="n"/>
    </row>
    <row r="11" ht="20" customFormat="1" customHeight="1" s="7">
      <c r="A11" s="39" t="inlineStr">
        <is>
          <t>RD01</t>
        </is>
      </c>
      <c r="B11" s="44" t="n"/>
      <c r="C11" s="23" t="inlineStr">
        <is>
          <t>虚拟人技术的模型研发与应用</t>
        </is>
      </c>
      <c r="D11" s="44" t="n"/>
      <c r="E11" s="44" t="n"/>
      <c r="F11" s="44" t="n"/>
      <c r="G11" s="44" t="n"/>
      <c r="H11" s="44" t="n"/>
      <c r="I11" s="45" t="n"/>
      <c r="J11" s="41" t="inlineStr">
        <is>
          <t>CYRD[2023] 01号</t>
        </is>
      </c>
      <c r="K11" s="44" t="n"/>
      <c r="L11" s="45" t="n"/>
      <c r="M11" s="23" t="inlineStr">
        <is>
          <t>创意热店专项</t>
        </is>
      </c>
      <c r="N11" s="44" t="n"/>
      <c r="O11" s="44" t="n"/>
      <c r="P11" s="45" t="n"/>
    </row>
    <row r="12" ht="20" customFormat="1" customHeight="1" s="7">
      <c r="A12" s="39" t="inlineStr">
        <is>
          <t>RD04</t>
        </is>
      </c>
      <c r="B12" s="44" t="n"/>
      <c r="C12" s="23" t="inlineStr">
        <is>
          <t>电商类AIGC图像系统设计与开发</t>
        </is>
      </c>
      <c r="D12" s="44" t="n"/>
      <c r="E12" s="44" t="n"/>
      <c r="F12" s="44" t="n"/>
      <c r="G12" s="44" t="n"/>
      <c r="H12" s="44" t="n"/>
      <c r="I12" s="45" t="n"/>
      <c r="J12" s="41" t="inlineStr">
        <is>
          <t>YS[2023] 03号</t>
        </is>
      </c>
      <c r="K12" s="44" t="n"/>
      <c r="L12" s="45" t="n"/>
      <c r="M12" s="23" t="inlineStr">
        <is>
          <t>电商类场景支持</t>
        </is>
      </c>
      <c r="N12" s="44" t="n"/>
      <c r="O12" s="44" t="n"/>
      <c r="P12" s="45" t="n"/>
    </row>
    <row r="13" ht="20" customFormat="1" customHeight="1" s="7">
      <c r="A13" s="39" t="inlineStr">
        <is>
          <t>RD05</t>
        </is>
      </c>
      <c r="B13" s="44" t="n"/>
      <c r="C13" s="23" t="inlineStr">
        <is>
          <t>广告类AIGC图像系统设计与开发</t>
        </is>
      </c>
      <c r="D13" s="44" t="n"/>
      <c r="E13" s="44" t="n"/>
      <c r="F13" s="44" t="n"/>
      <c r="G13" s="44" t="n"/>
      <c r="H13" s="44" t="n"/>
      <c r="I13" s="45" t="n"/>
      <c r="J13" s="41" t="inlineStr">
        <is>
          <t>YS[2023] 04号</t>
        </is>
      </c>
      <c r="K13" s="44" t="n"/>
      <c r="L13" s="45" t="n"/>
      <c r="M13" s="23" t="inlineStr">
        <is>
          <t>广告营销类场景支持</t>
        </is>
      </c>
      <c r="N13" s="44" t="n"/>
      <c r="O13" s="44" t="n"/>
      <c r="P13" s="45" t="n"/>
    </row>
    <row r="14" ht="20" customFormat="1" customHeight="1" s="7">
      <c r="A14" s="39" t="inlineStr">
        <is>
          <t>RD06</t>
        </is>
      </c>
      <c r="B14" s="44" t="n"/>
      <c r="C14" s="23" t="inlineStr">
        <is>
          <t>AI 视频营销脚本自动化生成与编辑系统</t>
        </is>
      </c>
      <c r="D14" s="44" t="n"/>
      <c r="E14" s="44" t="n"/>
      <c r="F14" s="44" t="n"/>
      <c r="G14" s="44" t="n"/>
      <c r="H14" s="44" t="n"/>
      <c r="I14" s="45" t="n"/>
      <c r="J14" s="41" t="inlineStr">
        <is>
          <t>YS[2023] 05号</t>
        </is>
      </c>
      <c r="K14" s="44" t="n"/>
      <c r="L14" s="45" t="n"/>
      <c r="M14" s="23" t="inlineStr">
        <is>
          <t>视频产品研究支持</t>
        </is>
      </c>
      <c r="N14" s="44" t="n"/>
      <c r="O14" s="44" t="n"/>
      <c r="P14" s="45" t="n"/>
    </row>
    <row r="15" ht="20" customFormat="1" customHeight="1" s="7">
      <c r="A15" s="39" t="inlineStr">
        <is>
          <t>RD07</t>
        </is>
      </c>
      <c r="B15" s="44" t="n"/>
      <c r="C15" s="23" t="inlineStr">
        <is>
          <t>基于互联网平台应用的轻量级AI营销工具包开发</t>
        </is>
      </c>
      <c r="D15" s="44" t="n"/>
      <c r="E15" s="44" t="n"/>
      <c r="F15" s="44" t="n"/>
      <c r="G15" s="44" t="n"/>
      <c r="H15" s="44" t="n"/>
      <c r="I15" s="45" t="n"/>
      <c r="J15" s="41" t="inlineStr">
        <is>
          <t>YS[2023] 06号</t>
        </is>
      </c>
      <c r="K15" s="44" t="n"/>
      <c r="L15" s="45" t="n"/>
      <c r="M15" s="23" t="inlineStr">
        <is>
          <t>AI工具包开发</t>
        </is>
      </c>
      <c r="N15" s="44" t="n"/>
      <c r="O15" s="44" t="n"/>
      <c r="P15" s="45" t="n"/>
    </row>
    <row r="16" ht="20" customFormat="1" customHeight="1" s="7">
      <c r="A16" s="39" t="inlineStr">
        <is>
          <t>RD08</t>
        </is>
      </c>
      <c r="B16" s="44" t="n"/>
      <c r="C16" s="23" t="inlineStr">
        <is>
          <t>自研AI营销专家数据标准系统</t>
        </is>
      </c>
      <c r="D16" s="44" t="n"/>
      <c r="E16" s="44" t="n"/>
      <c r="F16" s="44" t="n"/>
      <c r="G16" s="44" t="n"/>
      <c r="H16" s="44" t="n"/>
      <c r="I16" s="45" t="n"/>
      <c r="J16" s="41" t="inlineStr">
        <is>
          <t>YS[2024] 01号</t>
        </is>
      </c>
      <c r="K16" s="44" t="n"/>
      <c r="L16" s="45" t="n"/>
      <c r="M16" s="23" t="inlineStr">
        <is>
          <t>案例及标注数据库</t>
        </is>
      </c>
      <c r="N16" s="44" t="n"/>
      <c r="O16" s="44" t="n"/>
      <c r="P16" s="45" t="n"/>
    </row>
    <row r="17" ht="20" customFormat="1" customHeight="1" s="7">
      <c r="A17" s="39" t="inlineStr">
        <is>
          <t>RD09</t>
        </is>
      </c>
      <c r="B17" s="44" t="n"/>
      <c r="C17" s="23" t="inlineStr">
        <is>
          <t>自研AI策略案生成中台</t>
        </is>
      </c>
      <c r="D17" s="44" t="n"/>
      <c r="E17" s="44" t="n"/>
      <c r="F17" s="44" t="n"/>
      <c r="G17" s="44" t="n"/>
      <c r="H17" s="44" t="n"/>
      <c r="I17" s="45" t="n"/>
      <c r="J17" s="41" t="inlineStr">
        <is>
          <t>YS[2024] 02号</t>
        </is>
      </c>
      <c r="K17" s="44" t="n"/>
      <c r="L17" s="45" t="n"/>
      <c r="M17" s="23" t="inlineStr">
        <is>
          <t>营销PPT生成</t>
        </is>
      </c>
      <c r="N17" s="44" t="n"/>
      <c r="O17" s="44" t="n"/>
      <c r="P17" s="45" t="n"/>
    </row>
    <row r="18" ht="20" customFormat="1" customHeight="1" s="7">
      <c r="A18" s="39" t="inlineStr">
        <is>
          <t>RD10</t>
        </is>
      </c>
      <c r="B18" s="44" t="n"/>
      <c r="C18" s="23" t="inlineStr">
        <is>
          <t>针对游戏场景的AIGC视频系统设计与开发</t>
        </is>
      </c>
      <c r="D18" s="44" t="n"/>
      <c r="E18" s="44" t="n"/>
      <c r="F18" s="44" t="n"/>
      <c r="G18" s="44" t="n"/>
      <c r="H18" s="44" t="n"/>
      <c r="I18" s="45" t="n"/>
      <c r="J18" s="41" t="inlineStr">
        <is>
          <t>YS[2024] 03号</t>
        </is>
      </c>
      <c r="K18" s="44" t="n"/>
      <c r="L18" s="45" t="n"/>
      <c r="M18" s="23" t="inlineStr">
        <is>
          <t>互娱事业群营销场景支持</t>
        </is>
      </c>
      <c r="N18" s="44" t="n"/>
      <c r="O18" s="44" t="n"/>
      <c r="P18" s="45" t="n"/>
    </row>
    <row r="19" ht="20" customFormat="1" customHeight="1" s="7">
      <c r="A19" s="39" t="inlineStr">
        <is>
          <t>RD11</t>
        </is>
      </c>
      <c r="B19" s="44" t="n"/>
      <c r="C19" s="23" t="inlineStr">
        <is>
          <t>针对汽车行业的AIGC消费者洞察系统设计</t>
        </is>
      </c>
      <c r="D19" s="44" t="n"/>
      <c r="E19" s="44" t="n"/>
      <c r="F19" s="44" t="n"/>
      <c r="G19" s="44" t="n"/>
      <c r="H19" s="44" t="n"/>
      <c r="I19" s="45" t="n"/>
      <c r="J19" s="41" t="inlineStr">
        <is>
          <t>YS[2024] 04号</t>
        </is>
      </c>
      <c r="K19" s="44" t="n"/>
      <c r="L19" s="45" t="n"/>
      <c r="M19" s="23" t="inlineStr">
        <is>
          <t>汽车事业群营销场景支持</t>
        </is>
      </c>
      <c r="N19" s="44" t="n"/>
      <c r="O19" s="44" t="n"/>
      <c r="P19" s="45" t="n"/>
    </row>
    <row r="20" ht="18" customFormat="1" customHeight="1" s="7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</row>
  </sheetData>
  <mergeCells count="52">
    <mergeCell ref="A15:B15"/>
    <mergeCell ref="C17:I17"/>
    <mergeCell ref="M17:P17"/>
    <mergeCell ref="B3:B4"/>
    <mergeCell ref="A11:B11"/>
    <mergeCell ref="F3:F4"/>
    <mergeCell ref="M14:P14"/>
    <mergeCell ref="C19:I19"/>
    <mergeCell ref="J11:L11"/>
    <mergeCell ref="M19:P19"/>
    <mergeCell ref="C13:I13"/>
    <mergeCell ref="A16:B16"/>
    <mergeCell ref="J16:L16"/>
    <mergeCell ref="C18:I18"/>
    <mergeCell ref="A9:P9"/>
    <mergeCell ref="A3:A4"/>
    <mergeCell ref="G3:G4"/>
    <mergeCell ref="D3:D4"/>
    <mergeCell ref="J12:L12"/>
    <mergeCell ref="C15:I15"/>
    <mergeCell ref="A18:B18"/>
    <mergeCell ref="A12:B12"/>
    <mergeCell ref="C14:I14"/>
    <mergeCell ref="I3:P3"/>
    <mergeCell ref="A1:P1"/>
    <mergeCell ref="J18:L18"/>
    <mergeCell ref="H3:H4"/>
    <mergeCell ref="M11:P11"/>
    <mergeCell ref="A14:B14"/>
    <mergeCell ref="C10:I10"/>
    <mergeCell ref="C16:I16"/>
    <mergeCell ref="A17:B17"/>
    <mergeCell ref="M10:P10"/>
    <mergeCell ref="J17:L17"/>
    <mergeCell ref="J14:L14"/>
    <mergeCell ref="J10:L10"/>
    <mergeCell ref="M13:P13"/>
    <mergeCell ref="J13:L13"/>
    <mergeCell ref="M16:P16"/>
    <mergeCell ref="A19:B19"/>
    <mergeCell ref="A10:B10"/>
    <mergeCell ref="J19:L19"/>
    <mergeCell ref="C3:C4"/>
    <mergeCell ref="C12:I12"/>
    <mergeCell ref="A6:F6"/>
    <mergeCell ref="M12:P12"/>
    <mergeCell ref="A13:B13"/>
    <mergeCell ref="E3:E4"/>
    <mergeCell ref="M15:P15"/>
    <mergeCell ref="C11:I11"/>
    <mergeCell ref="M18:P18"/>
    <mergeCell ref="J15:L15"/>
  </mergeCells>
  <conditionalFormatting sqref="B5"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66875" right="0.393055555555556" top="0.472222222222222" bottom="0.393055555555556" header="0.393055555555556" footer="0.393055555555556"/>
  <pageSetup orientation="landscape" paperSize="9" scale="91" fitToHeight="0" horizontalDpi="1200" verticalDpi="1200"/>
  <headerFooter>
    <oddHeader/>
    <oddFooter>&amp;C&amp;"宋体"&amp;9 &amp;B第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2026-02-26T06:51:13Z</dcterms:modified>
  <cp:lastModifiedBy>kirito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5FC4CA969B4F4E5FB1A4BE9386371598_13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